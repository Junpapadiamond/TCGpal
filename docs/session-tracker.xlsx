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s" sheetId="1" state="visible" r:id="rId3"/>
    <sheet name="User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<sst xmlns="http://schemas.openxmlformats.org/spreadsheetml/2006/main" count="72" uniqueCount="70">
  <si>
    <t xml:space="preserve">Comparison ID</t>
  </si>
  <si>
    <t xml:space="preserve">User</t>
  </si>
  <si>
    <t xml:space="preserve">Date</t>
  </si>
  <si>
    <t xml:space="preserve">Source</t>
  </si>
  <si>
    <t xml:space="preserve">Card</t>
  </si>
  <si>
    <t xml:space="preserve">Completed (Y/N)</t>
  </si>
  <si>
    <t xml:space="preserve">Time to result (sec)</t>
  </si>
  <si>
    <t xml:space="preserve">&lt;90s</t>
  </si>
  <si>
    <t xml:space="preserve">Identity corrected (Y/N)</t>
  </si>
  <si>
    <t xml:space="preserve">Decision changed (Y/Maybe/N)</t>
  </si>
  <si>
    <t xml:space="preserve">Most useful lens</t>
  </si>
  <si>
    <t xml:space="preserve">Demo/Live</t>
  </si>
  <si>
    <t xml:space="preserve">Missing evidence</t>
  </si>
  <si>
    <t xml:space="preserve">Notes</t>
  </si>
  <si>
    <t xml:space="preserve">C-01</t>
  </si>
  <si>
    <t xml:space="preserve">C-02</t>
  </si>
  <si>
    <t xml:space="preserve">C-03</t>
  </si>
  <si>
    <t xml:space="preserve">C-04</t>
  </si>
  <si>
    <t xml:space="preserve">C-05</t>
  </si>
  <si>
    <t xml:space="preserve">C-06</t>
  </si>
  <si>
    <t xml:space="preserve">C-07</t>
  </si>
  <si>
    <t xml:space="preserve">C-08</t>
  </si>
  <si>
    <t xml:space="preserve">C-09</t>
  </si>
  <si>
    <t xml:space="preserve">C-10</t>
  </si>
  <si>
    <t xml:space="preserve">C-11</t>
  </si>
  <si>
    <t xml:space="preserve">C-12</t>
  </si>
  <si>
    <t xml:space="preserve">C-13</t>
  </si>
  <si>
    <t xml:space="preserve">C-14</t>
  </si>
  <si>
    <t xml:space="preserve">C-15</t>
  </si>
  <si>
    <t xml:space="preserve">Recruited from</t>
  </si>
  <si>
    <t xml:space="preserve">Bought in last 30d (Y/N)</t>
  </si>
  <si>
    <t xml:space="preserve">Returned w/ 2nd listing (Y/N)</t>
  </si>
  <si>
    <t xml:space="preserve">Shared / asked saved history (Y/N)</t>
  </si>
  <si>
    <t xml:space="preserve">Baseline workflow notes</t>
  </si>
  <si>
    <t xml:space="preserve">U1</t>
  </si>
  <si>
    <t xml:space="preserve">U2</t>
  </si>
  <si>
    <t xml:space="preserve">U3</t>
  </si>
  <si>
    <t xml:space="preserve">U4</t>
  </si>
  <si>
    <t xml:space="preserve">U5</t>
  </si>
  <si>
    <t xml:space="preserve">TCGpal — 5-Session Results</t>
  </si>
  <si>
    <t xml:space="preserve">Lightweight probe. North star = decision-change rate. Fill the Comparisons &amp; Users tabs; this updates.</t>
  </si>
  <si>
    <t xml:space="preserve">DECISION-CHANGE RATE (north star)</t>
  </si>
  <si>
    <t xml:space="preserve">Metric</t>
  </si>
  <si>
    <t xml:space="preserve">Value</t>
  </si>
  <si>
    <t xml:space="preserve">Comparisons logged</t>
  </si>
  <si>
    <t xml:space="preserve">Completed</t>
  </si>
  <si>
    <t xml:space="preserve">Completion rate</t>
  </si>
  <si>
    <t xml:space="preserve">Decision changed (count)</t>
  </si>
  <si>
    <t xml:space="preserve">Decision changed incl. Maybe</t>
  </si>
  <si>
    <t xml:space="preserve">Completed under 90s (count)</t>
  </si>
  <si>
    <t xml:space="preserve">Under-90s rate</t>
  </si>
  <si>
    <t xml:space="preserve">Identity corrected (count)</t>
  </si>
  <si>
    <t xml:space="preserve">Identity-correction rate</t>
  </si>
  <si>
    <t xml:space="preserve">Users returned w/ 2nd listing</t>
  </si>
  <si>
    <t xml:space="preserve">Users shared / asked saved</t>
  </si>
  <si>
    <t xml:space="preserve">Most-useful lens tally</t>
  </si>
  <si>
    <t xml:space="preserve">Cost</t>
  </si>
  <si>
    <t xml:space="preserve">Safety</t>
  </si>
  <si>
    <t xml:space="preserve">Evidence</t>
  </si>
  <si>
    <t xml:space="preserve">Gate</t>
  </si>
  <si>
    <t xml:space="preserve">Result</t>
  </si>
  <si>
    <t xml:space="preserve">Target</t>
  </si>
  <si>
    <t xml:space="preserve">Pass</t>
  </si>
  <si>
    <t xml:space="preserve">Decision changed</t>
  </si>
  <si>
    <t xml:space="preserve">≥ 3</t>
  </si>
  <si>
    <t xml:space="preserve">Completed under 90s</t>
  </si>
  <si>
    <t xml:space="preserve">≥ 10</t>
  </si>
  <si>
    <t xml:space="preserve">&lt; 10%</t>
  </si>
  <si>
    <t xml:space="preserve">Users returned / asked saved</t>
  </si>
  <si>
    <t xml:space="preserve">≥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</si>
</sst>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2F6F73"/>
      <name val="Arial"/>
      <family val="0"/>
      <charset val="1"/>
    </font>
    <font>
      <i val="true"/>
      <sz val="9"/>
      <color rgb="FF64736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2F6F73"/>
      <name val="Arial"/>
      <family val="0"/>
      <charset val="1"/>
    </font>
    <font>
      <b val="true"/>
      <sz val="12"/>
      <color rgb="FF2F6F7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6F73"/>
        <bgColor rgb="FF008080"/>
      </patternFill>
    </fill>
    <fill>
      <patternFill patternType="solid">
        <fgColor rgb="FFE7EFE8"/>
        <bgColor rgb="FFD6DE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ED5"/>
      </left>
      <right style="thin">
        <color rgb="FFD6DED5"/>
      </right>
      <top style="thin">
        <color rgb="FFD6DED5"/>
      </top>
      <bottom style="thin">
        <color rgb="FFD6DE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73"/>
      <rgbColor rgb="FFC0C0C0"/>
      <rgbColor rgb="FF808080"/>
      <rgbColor rgb="FF9999FF"/>
      <rgbColor rgb="FF993366"/>
      <rgbColor rgb="FFE7EFE8"/>
      <rgbColor rgb="FFCCFFFF"/>
      <rgbColor rgb="FF660066"/>
      <rgbColor rgb="FFFF8080"/>
      <rgbColor rgb="FF0066CC"/>
      <rgbColor rgb="FFD6DE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36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7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/>
      <c r="C2" s="3"/>
      <c r="D2" s="3"/>
      <c r="E2" s="2"/>
      <c r="F2" s="3"/>
      <c r="G2" s="3"/>
      <c r="H2" s="3" t="str">
        <f aca="false">IF($F2="Y",IF(AND(ISNUMBER($G2),$G2&lt;=90),1,0),"")</f>
        <v/>
      </c>
      <c r="I2" s="3"/>
      <c r="J2" s="2"/>
      <c r="K2" s="3"/>
      <c r="L2" s="3"/>
      <c r="M2" s="2"/>
      <c r="N2" s="2"/>
    </row>
    <row r="3" customFormat="false" ht="15" hidden="false" customHeight="false" outlineLevel="0" collapsed="false">
      <c r="A3" s="2" t="s">
        <v>15</v>
      </c>
      <c r="B3" s="3"/>
      <c r="C3" s="3"/>
      <c r="D3" s="3"/>
      <c r="E3" s="2"/>
      <c r="F3" s="3"/>
      <c r="G3" s="3"/>
      <c r="H3" s="3" t="str">
        <f aca="false">IF($F3="Y",IF(AND(ISNUMBER($G3),$G3&lt;=90),1,0),"")</f>
        <v/>
      </c>
      <c r="I3" s="3"/>
      <c r="J3" s="2"/>
      <c r="K3" s="3"/>
      <c r="L3" s="3"/>
      <c r="M3" s="2"/>
      <c r="N3" s="2"/>
    </row>
    <row r="4" customFormat="false" ht="15" hidden="false" customHeight="false" outlineLevel="0" collapsed="false">
      <c r="A4" s="2" t="s">
        <v>16</v>
      </c>
      <c r="B4" s="3"/>
      <c r="C4" s="3"/>
      <c r="D4" s="3"/>
      <c r="E4" s="2"/>
      <c r="F4" s="3"/>
      <c r="G4" s="3"/>
      <c r="H4" s="3" t="str">
        <f aca="false">IF($F4="Y",IF(AND(ISNUMBER($G4),$G4&lt;=90),1,0),"")</f>
        <v/>
      </c>
      <c r="I4" s="3"/>
      <c r="J4" s="2"/>
      <c r="K4" s="3"/>
      <c r="L4" s="3"/>
      <c r="M4" s="2"/>
      <c r="N4" s="2"/>
    </row>
    <row r="5" customFormat="false" ht="15" hidden="false" customHeight="false" outlineLevel="0" collapsed="false">
      <c r="A5" s="2" t="s">
        <v>17</v>
      </c>
      <c r="B5" s="3"/>
      <c r="C5" s="3"/>
      <c r="D5" s="3"/>
      <c r="E5" s="2"/>
      <c r="F5" s="3"/>
      <c r="G5" s="3"/>
      <c r="H5" s="3" t="str">
        <f aca="false">IF($F5="Y",IF(AND(ISNUMBER($G5),$G5&lt;=90),1,0),"")</f>
        <v/>
      </c>
      <c r="I5" s="3"/>
      <c r="J5" s="2"/>
      <c r="K5" s="3"/>
      <c r="L5" s="3"/>
      <c r="M5" s="2"/>
      <c r="N5" s="2"/>
    </row>
    <row r="6" customFormat="false" ht="15" hidden="false" customHeight="false" outlineLevel="0" collapsed="false">
      <c r="A6" s="2" t="s">
        <v>18</v>
      </c>
      <c r="B6" s="3"/>
      <c r="C6" s="3"/>
      <c r="D6" s="3"/>
      <c r="E6" s="2"/>
      <c r="F6" s="3"/>
      <c r="G6" s="3"/>
      <c r="H6" s="3" t="str">
        <f aca="false">IF($F6="Y",IF(AND(ISNUMBER($G6),$G6&lt;=90),1,0),"")</f>
        <v/>
      </c>
      <c r="I6" s="3"/>
      <c r="J6" s="2"/>
      <c r="K6" s="3"/>
      <c r="L6" s="3"/>
      <c r="M6" s="2"/>
      <c r="N6" s="2"/>
    </row>
    <row r="7" customFormat="false" ht="15" hidden="false" customHeight="false" outlineLevel="0" collapsed="false">
      <c r="A7" s="2" t="s">
        <v>19</v>
      </c>
      <c r="B7" s="3"/>
      <c r="C7" s="3"/>
      <c r="D7" s="3"/>
      <c r="E7" s="2"/>
      <c r="F7" s="3"/>
      <c r="G7" s="3"/>
      <c r="H7" s="3" t="str">
        <f aca="false">IF($F7="Y",IF(AND(ISNUMBER($G7),$G7&lt;=90),1,0),"")</f>
        <v/>
      </c>
      <c r="I7" s="3"/>
      <c r="J7" s="2"/>
      <c r="K7" s="3"/>
      <c r="L7" s="3"/>
      <c r="M7" s="2"/>
      <c r="N7" s="2"/>
    </row>
    <row r="8" customFormat="false" ht="15" hidden="false" customHeight="false" outlineLevel="0" collapsed="false">
      <c r="A8" s="2" t="s">
        <v>20</v>
      </c>
      <c r="B8" s="3"/>
      <c r="C8" s="3"/>
      <c r="D8" s="3"/>
      <c r="E8" s="2"/>
      <c r="F8" s="3"/>
      <c r="G8" s="3"/>
      <c r="H8" s="3" t="str">
        <f aca="false">IF($F8="Y",IF(AND(ISNUMBER($G8),$G8&lt;=90),1,0),"")</f>
        <v/>
      </c>
      <c r="I8" s="3"/>
      <c r="J8" s="2"/>
      <c r="K8" s="3"/>
      <c r="L8" s="3"/>
      <c r="M8" s="2"/>
      <c r="N8" s="2"/>
    </row>
    <row r="9" customFormat="false" ht="15" hidden="false" customHeight="false" outlineLevel="0" collapsed="false">
      <c r="A9" s="2" t="s">
        <v>21</v>
      </c>
      <c r="B9" s="3"/>
      <c r="C9" s="3"/>
      <c r="D9" s="3"/>
      <c r="E9" s="2"/>
      <c r="F9" s="3"/>
      <c r="G9" s="3"/>
      <c r="H9" s="3" t="str">
        <f aca="false">IF($F9="Y",IF(AND(ISNUMBER($G9),$G9&lt;=90),1,0),"")</f>
        <v/>
      </c>
      <c r="I9" s="3"/>
      <c r="J9" s="2"/>
      <c r="K9" s="3"/>
      <c r="L9" s="3"/>
      <c r="M9" s="2"/>
      <c r="N9" s="2"/>
    </row>
    <row r="10" customFormat="false" ht="15" hidden="false" customHeight="false" outlineLevel="0" collapsed="false">
      <c r="A10" s="2" t="s">
        <v>22</v>
      </c>
      <c r="B10" s="3"/>
      <c r="C10" s="3"/>
      <c r="D10" s="3"/>
      <c r="E10" s="2"/>
      <c r="F10" s="3"/>
      <c r="G10" s="3"/>
      <c r="H10" s="3" t="str">
        <f aca="false">IF($F10="Y",IF(AND(ISNUMBER($G10),$G10&lt;=90),1,0),"")</f>
        <v/>
      </c>
      <c r="I10" s="3"/>
      <c r="J10" s="2"/>
      <c r="K10" s="3"/>
      <c r="L10" s="3"/>
      <c r="M10" s="2"/>
      <c r="N10" s="2"/>
    </row>
    <row r="11" customFormat="false" ht="15" hidden="false" customHeight="false" outlineLevel="0" collapsed="false">
      <c r="A11" s="2" t="s">
        <v>23</v>
      </c>
      <c r="B11" s="3"/>
      <c r="C11" s="3"/>
      <c r="D11" s="3"/>
      <c r="E11" s="2"/>
      <c r="F11" s="3"/>
      <c r="G11" s="3"/>
      <c r="H11" s="3" t="str">
        <f aca="false">IF($F11="Y",IF(AND(ISNUMBER($G11),$G11&lt;=90),1,0),"")</f>
        <v/>
      </c>
      <c r="I11" s="3"/>
      <c r="J11" s="2"/>
      <c r="K11" s="3"/>
      <c r="L11" s="3"/>
      <c r="M11" s="2"/>
      <c r="N11" s="2"/>
    </row>
    <row r="12" customFormat="false" ht="15" hidden="false" customHeight="false" outlineLevel="0" collapsed="false">
      <c r="A12" s="2" t="s">
        <v>24</v>
      </c>
      <c r="B12" s="3"/>
      <c r="C12" s="3"/>
      <c r="D12" s="3"/>
      <c r="E12" s="2"/>
      <c r="F12" s="3"/>
      <c r="G12" s="3"/>
      <c r="H12" s="3" t="str">
        <f aca="false">IF($F12="Y",IF(AND(ISNUMBER($G12),$G12&lt;=90),1,0),"")</f>
        <v/>
      </c>
      <c r="I12" s="3"/>
      <c r="J12" s="2"/>
      <c r="K12" s="3"/>
      <c r="L12" s="3"/>
      <c r="M12" s="2"/>
      <c r="N12" s="2"/>
    </row>
    <row r="13" customFormat="false" ht="15" hidden="false" customHeight="false" outlineLevel="0" collapsed="false">
      <c r="A13" s="2" t="s">
        <v>25</v>
      </c>
      <c r="B13" s="3"/>
      <c r="C13" s="3"/>
      <c r="D13" s="3"/>
      <c r="E13" s="2"/>
      <c r="F13" s="3"/>
      <c r="G13" s="3"/>
      <c r="H13" s="3" t="str">
        <f aca="false">IF($F13="Y",IF(AND(ISNUMBER($G13),$G13&lt;=90),1,0),"")</f>
        <v/>
      </c>
      <c r="I13" s="3"/>
      <c r="J13" s="2"/>
      <c r="K13" s="3"/>
      <c r="L13" s="3"/>
      <c r="M13" s="2"/>
      <c r="N13" s="2"/>
    </row>
    <row r="14" customFormat="false" ht="15" hidden="false" customHeight="false" outlineLevel="0" collapsed="false">
      <c r="A14" s="2" t="s">
        <v>26</v>
      </c>
      <c r="B14" s="3"/>
      <c r="C14" s="3"/>
      <c r="D14" s="3"/>
      <c r="E14" s="2"/>
      <c r="F14" s="3"/>
      <c r="G14" s="3"/>
      <c r="H14" s="3" t="str">
        <f aca="false">IF($F14="Y",IF(AND(ISNUMBER($G14),$G14&lt;=90),1,0),"")</f>
        <v/>
      </c>
      <c r="I14" s="3"/>
      <c r="J14" s="2"/>
      <c r="K14" s="3"/>
      <c r="L14" s="3"/>
      <c r="M14" s="2"/>
      <c r="N14" s="2"/>
    </row>
    <row r="15" customFormat="false" ht="15" hidden="false" customHeight="false" outlineLevel="0" collapsed="false">
      <c r="A15" s="2" t="s">
        <v>27</v>
      </c>
      <c r="B15" s="3"/>
      <c r="C15" s="3"/>
      <c r="D15" s="3"/>
      <c r="E15" s="2"/>
      <c r="F15" s="3"/>
      <c r="G15" s="3"/>
      <c r="H15" s="3" t="str">
        <f aca="false">IF($F15="Y",IF(AND(ISNUMBER($G15),$G15&lt;=90),1,0),"")</f>
        <v/>
      </c>
      <c r="I15" s="3"/>
      <c r="J15" s="2"/>
      <c r="K15" s="3"/>
      <c r="L15" s="3"/>
      <c r="M15" s="2"/>
      <c r="N15" s="2"/>
    </row>
    <row r="16" customFormat="false" ht="15" hidden="false" customHeight="false" outlineLevel="0" collapsed="false">
      <c r="A16" s="2" t="s">
        <v>28</v>
      </c>
      <c r="B16" s="3"/>
      <c r="C16" s="3"/>
      <c r="D16" s="3"/>
      <c r="E16" s="2"/>
      <c r="F16" s="3"/>
      <c r="G16" s="3"/>
      <c r="H16" s="3" t="str">
        <f aca="false">IF($F16="Y",IF(AND(ISNUMBER($G16),$G16&lt;=90),1,0),"")</f>
        <v/>
      </c>
      <c r="I16" s="3"/>
      <c r="J16" s="2"/>
      <c r="K16" s="3"/>
      <c r="L16" s="3"/>
      <c r="M16" s="2"/>
      <c r="N16" s="2"/>
    </row>
  </sheetData>
  <dataValidations count="6">
    <dataValidation allowBlank="true" errorStyle="stop" operator="between" showDropDown="false" showErrorMessage="false" showInputMessage="false" sqref="F2:F16" type="list">
      <formula1>"Y,N"</formula1>
      <formula2>0</formula2>
    </dataValidation>
    <dataValidation allowBlank="true" errorStyle="stop" operator="between" showDropDown="false" showErrorMessage="false" showInputMessage="false" sqref="I2:I16" type="list">
      <formula1>"Y,N"</formula1>
      <formula2>0</formula2>
    </dataValidation>
    <dataValidation allowBlank="true" errorStyle="stop" operator="between" showDropDown="false" showErrorMessage="false" showInputMessage="false" sqref="J2:J16" type="list">
      <formula1>"Y,Maybe,N"</formula1>
      <formula2>0</formula2>
    </dataValidation>
    <dataValidation allowBlank="true" errorStyle="stop" operator="between" showDropDown="false" showErrorMessage="false" showInputMessage="false" sqref="K2:K16" type="list">
      <formula1>"Cost,Safety,Evidence"</formula1>
      <formula2>0</formula2>
    </dataValidation>
    <dataValidation allowBlank="true" errorStyle="stop" operator="between" showDropDown="false" showErrorMessage="false" showInputMessage="false" sqref="L2:L16" type="list">
      <formula1>"Demo,Live"</formula1>
      <formula2>0</formula2>
    </dataValidation>
    <dataValidation allowBlank="true" errorStyle="stop" operator="between" showDropDown="false" showErrorMessage="false" showInputMessage="false" sqref="D2:D16" type="list">
      <formula1>"eBay,TCGplayer,Facebook,Reddit,Mercari,Whatnot,Local shop,Other"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1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customFormat="false" ht="15" hidden="false" customHeight="false" outlineLevel="0" collapsed="false">
      <c r="A2" s="3" t="s">
        <v>34</v>
      </c>
      <c r="B2" s="2"/>
      <c r="C2" s="3"/>
      <c r="D2" s="3"/>
      <c r="E2" s="3"/>
      <c r="F2" s="2"/>
    </row>
    <row r="3" customFormat="false" ht="15" hidden="false" customHeight="false" outlineLevel="0" collapsed="false">
      <c r="A3" s="3" t="s">
        <v>35</v>
      </c>
      <c r="B3" s="2"/>
      <c r="C3" s="3"/>
      <c r="D3" s="3"/>
      <c r="E3" s="3"/>
      <c r="F3" s="2"/>
    </row>
    <row r="4" customFormat="false" ht="15" hidden="false" customHeight="false" outlineLevel="0" collapsed="false">
      <c r="A4" s="3" t="s">
        <v>36</v>
      </c>
      <c r="B4" s="2"/>
      <c r="C4" s="3"/>
      <c r="D4" s="3"/>
      <c r="E4" s="3"/>
      <c r="F4" s="2"/>
    </row>
    <row r="5" customFormat="false" ht="15" hidden="false" customHeight="false" outlineLevel="0" collapsed="false">
      <c r="A5" s="3" t="s">
        <v>37</v>
      </c>
      <c r="B5" s="2"/>
      <c r="C5" s="3"/>
      <c r="D5" s="3"/>
      <c r="E5" s="3"/>
      <c r="F5" s="2"/>
    </row>
    <row r="6" customFormat="false" ht="15" hidden="false" customHeight="false" outlineLevel="0" collapsed="false">
      <c r="A6" s="3" t="s">
        <v>38</v>
      </c>
      <c r="B6" s="2"/>
      <c r="C6" s="3"/>
      <c r="D6" s="3"/>
      <c r="E6" s="3"/>
      <c r="F6" s="2"/>
    </row>
  </sheetData>
  <dataValidations count="3">
    <dataValidation allowBlank="true" errorStyle="stop" operator="between" showDropDown="false" showErrorMessage="false" showInputMessage="false" sqref="C2:C6" type="list">
      <formula1>"Y,N"</formula1>
      <formula2>0</formula2>
    </dataValidation>
    <dataValidation allowBlank="true" errorStyle="stop" operator="between" showDropDown="false" showErrorMessage="false" showInputMessage="false" sqref="D2:D6" type="list">
      <formula1>"Y,N"</formula1>
      <formula2>0</formula2>
    </dataValidation>
    <dataValidation allowBlank="true" errorStyle="stop" operator="between" showDropDown="false" showErrorMessage="false" showInputMessage="false" sqref="E2:E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8.55" hidden="false" customHeight="false" outlineLevel="0" collapsed="false">
      <c r="A1" s="4" t="s">
        <v>39</v>
      </c>
    </row>
    <row r="2" customFormat="false" ht="15" hidden="false" customHeight="false" outlineLevel="0" collapsed="false">
      <c r="A2" s="5" t="s">
        <v>40</v>
      </c>
      <c r="B2" s="5"/>
      <c r="C2" s="5"/>
      <c r="D2" s="5"/>
    </row>
    <row r="4" customFormat="false" ht="17.35" hidden="false" customHeight="false" outlineLevel="0" collapsed="false">
      <c r="A4" s="6" t="s">
        <v>41</v>
      </c>
      <c r="B4" s="7" t="str">
        <f aca="false">IFERROR(COUNTIF(Comparisons!J2:J16,"Y")/(COUNTIF(Comparisons!F2:F16,"Y")+COUNTIF(Comparisons!F2:F16,"N")),"")</f>
        <v/>
      </c>
    </row>
    <row r="6" customFormat="false" ht="15" hidden="false" customHeight="false" outlineLevel="0" collapsed="false">
      <c r="A6" s="8" t="s">
        <v>42</v>
      </c>
      <c r="B6" s="1" t="s">
        <v>43</v>
      </c>
    </row>
    <row r="7" customFormat="false" ht="15" hidden="false" customHeight="false" outlineLevel="0" collapsed="false">
      <c r="A7" s="9" t="s">
        <v>44</v>
      </c>
      <c r="B7" s="10" t="n">
        <f aca="false">(COUNTIF(Comparisons!F2:F16,"Y")+COUNTIF(Comparisons!F2:F16,"N"))</f>
        <v>0</v>
      </c>
    </row>
    <row r="8" customFormat="false" ht="15" hidden="false" customHeight="false" outlineLevel="0" collapsed="false">
      <c r="A8" s="9" t="s">
        <v>45</v>
      </c>
      <c r="B8" s="10" t="n">
        <f aca="false">COUNTIF(Comparisons!F2:F16,"Y")</f>
        <v>0</v>
      </c>
    </row>
    <row r="9" customFormat="false" ht="15" hidden="false" customHeight="false" outlineLevel="0" collapsed="false">
      <c r="A9" s="9" t="s">
        <v>46</v>
      </c>
      <c r="B9" s="11" t="str">
        <f aca="false">IFERROR(COUNTIF(Comparisons!F2:F16,"Y")/(COUNTIF(Comparisons!F2:F16,"Y")+COUNTIF(Comparisons!F2:F16,"N")),"")</f>
        <v/>
      </c>
    </row>
    <row r="10" customFormat="false" ht="15" hidden="false" customHeight="false" outlineLevel="0" collapsed="false">
      <c r="A10" s="9" t="s">
        <v>47</v>
      </c>
      <c r="B10" s="10" t="n">
        <f aca="false">COUNTIF(Comparisons!J2:J16,"Y")</f>
        <v>0</v>
      </c>
    </row>
    <row r="11" customFormat="false" ht="15" hidden="false" customHeight="false" outlineLevel="0" collapsed="false">
      <c r="A11" s="9" t="s">
        <v>48</v>
      </c>
      <c r="B11" s="10" t="n">
        <f aca="false">COUNTIF(Comparisons!J2:J16,"Y")+COUNTIF(Comparisons!J2:J16,"Maybe")</f>
        <v>0</v>
      </c>
    </row>
    <row r="12" customFormat="false" ht="15" hidden="false" customHeight="false" outlineLevel="0" collapsed="false">
      <c r="A12" s="9" t="s">
        <v>49</v>
      </c>
      <c r="B12" s="10" t="n">
        <f aca="false">SUM(Comparisons!H2:H16)</f>
        <v>0</v>
      </c>
    </row>
    <row r="13" customFormat="false" ht="15" hidden="false" customHeight="false" outlineLevel="0" collapsed="false">
      <c r="A13" s="9" t="s">
        <v>50</v>
      </c>
      <c r="B13" s="11" t="str">
        <f aca="false">IFERROR(SUM(Comparisons!H2:H16)/(COUNTIF(Comparisons!F2:F16,"Y")+COUNTIF(Comparisons!F2:F16,"N")),"")</f>
        <v/>
      </c>
    </row>
    <row r="14" customFormat="false" ht="15" hidden="false" customHeight="false" outlineLevel="0" collapsed="false">
      <c r="A14" s="9" t="s">
        <v>51</v>
      </c>
      <c r="B14" s="10" t="n">
        <f aca="false">COUNTIF(Comparisons!I2:I16,"Y")</f>
        <v>0</v>
      </c>
    </row>
    <row r="15" customFormat="false" ht="15" hidden="false" customHeight="false" outlineLevel="0" collapsed="false">
      <c r="A15" s="9" t="s">
        <v>52</v>
      </c>
      <c r="B15" s="11" t="str">
        <f aca="false">IFERROR(COUNTIF(Comparisons!I2:I16,"Y")/(COUNTIF(Comparisons!F2:F16,"Y")+COUNTIF(Comparisons!F2:F16,"N")),"")</f>
        <v/>
      </c>
    </row>
    <row r="16" customFormat="false" ht="15" hidden="false" customHeight="false" outlineLevel="0" collapsed="false">
      <c r="A16" s="9" t="s">
        <v>53</v>
      </c>
      <c r="B16" s="10" t="n">
        <f aca="false">COUNTIF(Users!D2:D6,"Y")</f>
        <v>0</v>
      </c>
    </row>
    <row r="17" customFormat="false" ht="15" hidden="false" customHeight="false" outlineLevel="0" collapsed="false">
      <c r="A17" s="9" t="s">
        <v>54</v>
      </c>
      <c r="B17" s="10" t="n">
        <f aca="false">COUNTIF(Users!E2:E6,"Y")</f>
        <v>0</v>
      </c>
    </row>
    <row r="19" customFormat="false" ht="15" hidden="false" customHeight="false" outlineLevel="0" collapsed="false">
      <c r="A19" s="12" t="s">
        <v>55</v>
      </c>
    </row>
    <row r="20" customFormat="false" ht="15" hidden="false" customHeight="false" outlineLevel="0" collapsed="false">
      <c r="A20" s="9" t="s">
        <v>56</v>
      </c>
      <c r="B20" s="3" t="n">
        <f aca="false">COUNTIF(Comparisons!K2:K16,"Cost")</f>
        <v>0</v>
      </c>
    </row>
    <row r="21" customFormat="false" ht="15" hidden="false" customHeight="false" outlineLevel="0" collapsed="false">
      <c r="A21" s="9" t="s">
        <v>57</v>
      </c>
      <c r="B21" s="3" t="n">
        <f aca="false">COUNTIF(Comparisons!K2:K16,"Safety")</f>
        <v>0</v>
      </c>
    </row>
    <row r="22" customFormat="false" ht="15" hidden="false" customHeight="false" outlineLevel="0" collapsed="false">
      <c r="A22" s="9" t="s">
        <v>58</v>
      </c>
      <c r="B22" s="3" t="n">
        <f aca="false">COUNTIF(Comparisons!K2:K16,"Evidence")</f>
        <v>0</v>
      </c>
    </row>
    <row r="24" customFormat="false" ht="15" hidden="false" customHeight="false" outlineLevel="0" collapsed="false">
      <c r="A24" s="8" t="s">
        <v>59</v>
      </c>
      <c r="B24" s="1" t="s">
        <v>60</v>
      </c>
      <c r="C24" s="1" t="s">
        <v>61</v>
      </c>
      <c r="D24" s="1" t="s">
        <v>62</v>
      </c>
    </row>
    <row r="25" customFormat="false" ht="15" hidden="false" customHeight="false" outlineLevel="0" collapsed="false">
      <c r="A25" s="9" t="s">
        <v>63</v>
      </c>
      <c r="B25" s="3" t="n">
        <f aca="false">COUNTIF(Comparisons!J2:J16,"Y")</f>
        <v>0</v>
      </c>
      <c r="C25" s="3" t="s">
        <v>64</v>
      </c>
      <c r="D25" s="13" t="str">
        <f aca="false">IF((COUNTIF(Comparisons!F2:F16,"Y")+COUNTIF(Comparisons!F2:F16,"N"))=0,"",IF(COUNTIF(Comparisons!J2:J16,"Y")&gt;=3,"✓","✗"))</f>
        <v/>
      </c>
    </row>
    <row r="26" customFormat="false" ht="15" hidden="false" customHeight="false" outlineLevel="0" collapsed="false">
      <c r="A26" s="9" t="s">
        <v>65</v>
      </c>
      <c r="B26" s="3" t="n">
        <f aca="false">SUM(Comparisons!H2:H16)</f>
        <v>0</v>
      </c>
      <c r="C26" s="3" t="s">
        <v>66</v>
      </c>
      <c r="D26" s="13" t="str">
        <f aca="false">IF((COUNTIF(Comparisons!F2:F16,"Y")+COUNTIF(Comparisons!F2:F16,"N"))=0,"",IF(SUM(Comparisons!H2:H16)&gt;=10,"✓","✗"))</f>
        <v/>
      </c>
    </row>
    <row r="27" customFormat="false" ht="15" hidden="false" customHeight="false" outlineLevel="0" collapsed="false">
      <c r="A27" s="9" t="s">
        <v>52</v>
      </c>
      <c r="B27" s="11" t="str">
        <f aca="false">IFERROR(COUNTIF(Comparisons!I2:I16,"Y")/(COUNTIF(Comparisons!F2:F16,"Y")+COUNTIF(Comparisons!F2:F16,"N")),"")</f>
        <v/>
      </c>
      <c r="C27" s="3" t="s">
        <v>67</v>
      </c>
      <c r="D27" s="13" t="str">
        <f aca="false">IF((COUNTIF(Comparisons!F2:F16,"Y")+COUNTIF(Comparisons!F2:F16,"N"))=0,"",IF(COUNTIF(Comparisons!I2:I16,"Y")/(COUNTIF(Comparisons!F2:F16,"Y")+COUNTIF(Comparisons!F2:F16,"N"))&lt;0.1,"✓","✗"))</f>
        <v/>
      </c>
    </row>
    <row r="28" customFormat="false" ht="15" hidden="false" customHeight="false" outlineLevel="0" collapsed="false">
      <c r="A28" s="9" t="s">
        <v>68</v>
      </c>
      <c r="B28" s="3" t="n">
        <f aca="false">COUNTIF(Users!D2:D6,"Y")+COUNTIF(Users!E2:E6,"Y")</f>
        <v>0</v>
      </c>
      <c r="C28" s="3" t="s">
        <v>69</v>
      </c>
      <c r="D28" s="13" t="str">
        <f aca="false">IF((COUNTIF(Users!D2:D6,"Y")+COUNTIF(Users!E2:E6,"Y"))&gt;=2,"✓","")</f>
        <v/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2026-06-28T03:17:20Z</dcterms:created>
  <dc:creator>openpyxl</dc:creator>
  <dc:description/>
  <dc:language>en-US</dc:language>
  <cp:lastModifiedBy/>
  <dcterms:modified xsi:type="dcterms:W3CDTF">2026-06-28T03:17:20Z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